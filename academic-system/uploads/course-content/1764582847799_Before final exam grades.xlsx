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Elie Documents\AUCA Lecturing\PLSQL\Grades\"/>
    </mc:Choice>
  </mc:AlternateContent>
  <bookViews>
    <workbookView xWindow="0" yWindow="0" windowWidth="28800" windowHeight="1218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3" l="1"/>
  <c r="N12" i="3" s="1"/>
  <c r="P12" i="3" s="1"/>
  <c r="M21" i="3"/>
  <c r="N21" i="3" s="1"/>
  <c r="P21" i="3" s="1"/>
  <c r="M15" i="3"/>
  <c r="N15" i="3" s="1"/>
  <c r="P15" i="3" s="1"/>
  <c r="M6" i="3"/>
  <c r="N6" i="3" s="1"/>
  <c r="P6" i="3" s="1"/>
  <c r="M23" i="3"/>
  <c r="N23" i="3" s="1"/>
  <c r="P23" i="3" s="1"/>
  <c r="M16" i="3"/>
  <c r="N16" i="3" s="1"/>
  <c r="P16" i="3" s="1"/>
  <c r="M11" i="3"/>
  <c r="N11" i="3" s="1"/>
  <c r="P11" i="3" s="1"/>
  <c r="M20" i="3"/>
  <c r="N20" i="3" s="1"/>
  <c r="P20" i="3" s="1"/>
  <c r="M9" i="3"/>
  <c r="N9" i="3" s="1"/>
  <c r="P9" i="3" s="1"/>
  <c r="M18" i="3"/>
  <c r="N18" i="3" s="1"/>
  <c r="P18" i="3" s="1"/>
  <c r="M24" i="3"/>
  <c r="N24" i="3" s="1"/>
  <c r="P24" i="3" s="1"/>
  <c r="N3" i="3"/>
  <c r="P3" i="3" s="1"/>
  <c r="M3" i="3"/>
  <c r="M5" i="3"/>
  <c r="N5" i="3" s="1"/>
  <c r="P5" i="3" s="1"/>
  <c r="M10" i="3"/>
  <c r="N10" i="3" s="1"/>
  <c r="P10" i="3" s="1"/>
  <c r="M17" i="3"/>
  <c r="N17" i="3" s="1"/>
  <c r="P17" i="3" s="1"/>
  <c r="M2" i="3"/>
  <c r="N2" i="3" s="1"/>
  <c r="P2" i="3" s="1"/>
  <c r="M22" i="3"/>
  <c r="N22" i="3" s="1"/>
  <c r="P22" i="3" s="1"/>
  <c r="M8" i="3"/>
  <c r="N8" i="3" s="1"/>
  <c r="P8" i="3" s="1"/>
  <c r="M26" i="3"/>
  <c r="N26" i="3" s="1"/>
  <c r="P26" i="3" s="1"/>
  <c r="M4" i="3"/>
  <c r="N4" i="3" s="1"/>
  <c r="P4" i="3" s="1"/>
  <c r="M13" i="3"/>
  <c r="N13" i="3" s="1"/>
  <c r="P13" i="3" s="1"/>
  <c r="M19" i="3"/>
  <c r="N19" i="3" s="1"/>
  <c r="P19" i="3" s="1"/>
  <c r="M7" i="3"/>
  <c r="N7" i="3" s="1"/>
  <c r="P7" i="3" s="1"/>
  <c r="M14" i="3"/>
  <c r="N14" i="3" s="1"/>
  <c r="P14" i="3" s="1"/>
  <c r="M25" i="3"/>
  <c r="N25" i="3" s="1"/>
  <c r="P25" i="3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</calcChain>
</file>

<file path=xl/sharedStrings.xml><?xml version="1.0" encoding="utf-8"?>
<sst xmlns="http://schemas.openxmlformats.org/spreadsheetml/2006/main" count="244" uniqueCount="100">
  <si>
    <t>Student ID</t>
  </si>
  <si>
    <t>Assign2/</t>
  </si>
  <si>
    <t>Assign3/</t>
  </si>
  <si>
    <t>Assign4/</t>
  </si>
  <si>
    <t>Assign5/</t>
  </si>
  <si>
    <t>Assign6/</t>
  </si>
  <si>
    <t>Assign7/</t>
  </si>
  <si>
    <t>Assign8/</t>
  </si>
  <si>
    <t>Assign9/</t>
  </si>
  <si>
    <t>Assign10/</t>
  </si>
  <si>
    <t>Quiz7/</t>
  </si>
  <si>
    <t>Quiz8/</t>
  </si>
  <si>
    <t>Quiz9/</t>
  </si>
  <si>
    <t>Quiz10/</t>
  </si>
  <si>
    <t>24717</t>
  </si>
  <si>
    <t>Names</t>
  </si>
  <si>
    <t>Gango Petroni Endam</t>
  </si>
  <si>
    <t>Mid exam/30</t>
  </si>
  <si>
    <t>Final exam/40</t>
  </si>
  <si>
    <t>23006</t>
  </si>
  <si>
    <t>23156</t>
  </si>
  <si>
    <t>24408</t>
  </si>
  <si>
    <t>24861</t>
  </si>
  <si>
    <t>25094</t>
  </si>
  <si>
    <t>25326</t>
  </si>
  <si>
    <t>26481</t>
  </si>
  <si>
    <t>26906</t>
  </si>
  <si>
    <t>27044</t>
  </si>
  <si>
    <t>27164</t>
  </si>
  <si>
    <t>27281</t>
  </si>
  <si>
    <t>27288</t>
  </si>
  <si>
    <t>27301</t>
  </si>
  <si>
    <t>27798</t>
  </si>
  <si>
    <t>27951</t>
  </si>
  <si>
    <t>27953</t>
  </si>
  <si>
    <t>28216</t>
  </si>
  <si>
    <t>28230</t>
  </si>
  <si>
    <t>28256</t>
  </si>
  <si>
    <t>28347</t>
  </si>
  <si>
    <t>28359</t>
  </si>
  <si>
    <t>28387</t>
  </si>
  <si>
    <t>28394</t>
  </si>
  <si>
    <t>28412</t>
  </si>
  <si>
    <t>28416</t>
  </si>
  <si>
    <t>28432</t>
  </si>
  <si>
    <t>28435</t>
  </si>
  <si>
    <t>28469</t>
  </si>
  <si>
    <t>28471</t>
  </si>
  <si>
    <t>28485</t>
  </si>
  <si>
    <t>28519</t>
  </si>
  <si>
    <t>29267</t>
  </si>
  <si>
    <t>29312</t>
  </si>
  <si>
    <t>Shema Karasira Ivan</t>
  </si>
  <si>
    <t>Tuyizere Clarisse</t>
  </si>
  <si>
    <t>Rutagwera Shema Ivan</t>
  </si>
  <si>
    <t xml:space="preserve">Ishimwe Levis </t>
  </si>
  <si>
    <t xml:space="preserve">Bimenyimana Aimable </t>
  </si>
  <si>
    <t>Ishimwe Kessy Dasia</t>
  </si>
  <si>
    <t>Muheto Rutayisire Jess</t>
  </si>
  <si>
    <t>Matabaro Cishugi Ardent</t>
  </si>
  <si>
    <t>Ngabonziza Lynda</t>
  </si>
  <si>
    <t>Gasana Lance Jonathan</t>
  </si>
  <si>
    <t>Ishimwe Havugintwari Orlando</t>
  </si>
  <si>
    <t>Ndayishimiye Moise</t>
  </si>
  <si>
    <t>Kambanda Geoffrey</t>
  </si>
  <si>
    <t>Ntihemuka Benjamin</t>
  </si>
  <si>
    <t>Kamonyo Iradukunda Solal</t>
  </si>
  <si>
    <t>Umurerwa Kayigamba Iris</t>
  </si>
  <si>
    <t>Byiringiro Maurice</t>
  </si>
  <si>
    <t>Rugambwa Davin</t>
  </si>
  <si>
    <t>Mushimiyimana  Josiane</t>
  </si>
  <si>
    <t>Manzi Haridi</t>
  </si>
  <si>
    <t>Akamanzi Bella Rutaremara</t>
  </si>
  <si>
    <t>Izabayo Gitego Nadine</t>
  </si>
  <si>
    <t>Gisingizo Magnifique Bonit</t>
  </si>
  <si>
    <t xml:space="preserve">Ishimwe Niyo Grace </t>
  </si>
  <si>
    <t>Mpano Uwimana Bertin</t>
  </si>
  <si>
    <t xml:space="preserve">Uwitonze Sonia </t>
  </si>
  <si>
    <t>Nyampundu Belyse</t>
  </si>
  <si>
    <t>Uwayezu Lydie</t>
  </si>
  <si>
    <t>Keza Ruzindaza Ornella</t>
  </si>
  <si>
    <t>Irakoze Deborah</t>
  </si>
  <si>
    <t>IRIBAGIZA Cecile</t>
  </si>
  <si>
    <t>Shema Chance James Emmanuel</t>
  </si>
  <si>
    <t>Umugwaneza Henriette</t>
  </si>
  <si>
    <t>Assign1/30</t>
  </si>
  <si>
    <t>Quiz1/10</t>
  </si>
  <si>
    <t>Quiz2/10</t>
  </si>
  <si>
    <t>Quiz3/2</t>
  </si>
  <si>
    <t>Quiz4/10</t>
  </si>
  <si>
    <t>Quiz5/10</t>
  </si>
  <si>
    <t>Quiz6/20</t>
  </si>
  <si>
    <t>Quiz8/10-T</t>
  </si>
  <si>
    <t>Quiz7/10-PR</t>
  </si>
  <si>
    <t>Quiz9/10-PA</t>
  </si>
  <si>
    <t>Assign1/10</t>
  </si>
  <si>
    <t>Average/30</t>
  </si>
  <si>
    <t>Tot/102</t>
  </si>
  <si>
    <t>Tot/100-AFE</t>
  </si>
  <si>
    <t>Tot/60-BFE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</si>
</sst>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0" xfId="1"/>
    <xf numFmtId="0" fontId="2" fillId="2" borderId="0" xfId="0" applyFont="1" applyFill="1"/>
    <xf numFmtId="0" fontId="4" fillId="0" borderId="0" xfId="1"/>
    <xf numFmtId="0" fontId="0" fillId="2" borderId="0" xfId="0" applyFill="1"/>
    <xf numFmtId="0" fontId="5" fillId="0" borderId="0" xfId="2"/>
    <xf numFmtId="0" fontId="5" fillId="0" borderId="0" xfId="2"/>
    <xf numFmtId="0" fontId="5" fillId="0" borderId="0" xfId="2" applyFill="1"/>
    <xf numFmtId="0" fontId="5" fillId="3" borderId="0" xfId="2" applyFill="1"/>
    <xf numFmtId="0" fontId="0" fillId="3" borderId="0" xfId="0" applyFill="1"/>
    <xf numFmtId="0" fontId="4" fillId="3" borderId="0" xfId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113" workbookViewId="0">
      <selection sqref="A1:R26"/>
    </sheetView>
  </sheetViews>
  <sheetFormatPr defaultRowHeight="15"/>
  <cols>
    <col min="1" max="1" width="17.140625" customWidth="1"/>
    <col min="2" max="2" width="35" customWidth="1"/>
    <col min="3" max="3" width="12.42578125" customWidth="1"/>
    <col min="10" max="10" width="12.85546875" customWidth="1"/>
    <col min="12" max="12" width="14.140625" customWidth="1"/>
    <col min="13" max="13" width="11" customWidth="1"/>
    <col min="14" max="14" width="13" customWidth="1"/>
    <col min="15" max="16" width="14.42578125" customWidth="1"/>
    <col min="17" max="17" width="13.28515625" customWidth="1"/>
    <col min="18" max="18" width="13.5703125" customWidth="1"/>
  </cols>
  <sheetData>
    <row r="1" spans="1:18" s="2" customFormat="1">
      <c r="A1" s="2" t="s">
        <v>0</v>
      </c>
      <c r="B1" s="2" t="s">
        <v>15</v>
      </c>
      <c r="C1" s="2" t="s">
        <v>95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93</v>
      </c>
      <c r="K1" s="2" t="s">
        <v>92</v>
      </c>
      <c r="L1" s="2" t="s">
        <v>94</v>
      </c>
      <c r="M1" s="2" t="s">
        <v>97</v>
      </c>
      <c r="N1" s="2" t="s">
        <v>96</v>
      </c>
      <c r="O1" s="2" t="s">
        <v>17</v>
      </c>
      <c r="P1" s="2" t="s">
        <v>99</v>
      </c>
      <c r="Q1" s="2" t="s">
        <v>18</v>
      </c>
      <c r="R1" s="2" t="s">
        <v>98</v>
      </c>
    </row>
    <row r="2" spans="1:18">
      <c r="A2" s="8" t="s">
        <v>19</v>
      </c>
      <c r="B2" s="9" t="s">
        <v>52</v>
      </c>
      <c r="C2" s="9">
        <v>9</v>
      </c>
      <c r="D2">
        <v>0</v>
      </c>
      <c r="E2">
        <v>4.5</v>
      </c>
      <c r="F2">
        <v>2</v>
      </c>
      <c r="G2">
        <v>4</v>
      </c>
      <c r="H2">
        <v>7.5</v>
      </c>
      <c r="I2">
        <v>0</v>
      </c>
      <c r="M2">
        <f>C2+D2+E2+F2+G2+H2+I2+J2+K2+L2</f>
        <v>27</v>
      </c>
      <c r="N2">
        <f>ROUND(M2/102*30, 0)</f>
        <v>8</v>
      </c>
      <c r="O2">
        <v>8.5</v>
      </c>
      <c r="P2">
        <f>N2+O2</f>
        <v>16.5</v>
      </c>
    </row>
    <row r="3" spans="1:18">
      <c r="A3" s="8" t="s">
        <v>23</v>
      </c>
      <c r="B3" s="9" t="s">
        <v>56</v>
      </c>
      <c r="C3" s="9">
        <v>7</v>
      </c>
      <c r="D3">
        <v>3</v>
      </c>
      <c r="E3">
        <v>10</v>
      </c>
      <c r="F3">
        <v>0</v>
      </c>
      <c r="G3">
        <v>7.5</v>
      </c>
      <c r="H3">
        <v>8.5</v>
      </c>
      <c r="I3">
        <v>12</v>
      </c>
      <c r="J3">
        <v>5</v>
      </c>
      <c r="K3">
        <v>10</v>
      </c>
      <c r="M3">
        <f t="shared" ref="M3:M38" si="0">C3+D3+E3+F3+G3+H3+I3+J3+K3+L3</f>
        <v>63</v>
      </c>
      <c r="N3">
        <f t="shared" ref="N3:N38" si="1">ROUND(M3/102*30, 0)</f>
        <v>19</v>
      </c>
      <c r="O3">
        <v>18.5</v>
      </c>
      <c r="P3">
        <f t="shared" ref="P3:P38" si="2">N3+O3</f>
        <v>37.5</v>
      </c>
    </row>
    <row r="4" spans="1:18">
      <c r="A4" s="8" t="s">
        <v>25</v>
      </c>
      <c r="B4" s="9" t="s">
        <v>58</v>
      </c>
      <c r="C4" s="9">
        <v>7</v>
      </c>
      <c r="D4">
        <v>5.5</v>
      </c>
      <c r="E4">
        <v>7.5</v>
      </c>
      <c r="F4">
        <v>2</v>
      </c>
      <c r="G4">
        <v>9</v>
      </c>
      <c r="H4">
        <v>9</v>
      </c>
      <c r="I4">
        <v>7</v>
      </c>
      <c r="J4">
        <v>0</v>
      </c>
      <c r="K4">
        <v>10</v>
      </c>
      <c r="M4">
        <f t="shared" si="0"/>
        <v>57</v>
      </c>
      <c r="N4">
        <f t="shared" si="1"/>
        <v>17</v>
      </c>
      <c r="O4">
        <v>24.5</v>
      </c>
      <c r="P4">
        <f t="shared" si="2"/>
        <v>41.5</v>
      </c>
    </row>
    <row r="5" spans="1:18">
      <c r="A5" s="8" t="s">
        <v>26</v>
      </c>
      <c r="B5" s="9" t="s">
        <v>59</v>
      </c>
      <c r="C5" s="9">
        <v>9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9</v>
      </c>
      <c r="K5">
        <v>5</v>
      </c>
      <c r="L5">
        <v>8</v>
      </c>
      <c r="M5">
        <f t="shared" si="0"/>
        <v>38</v>
      </c>
      <c r="N5">
        <f t="shared" si="1"/>
        <v>11</v>
      </c>
      <c r="O5">
        <v>22.5</v>
      </c>
      <c r="P5">
        <f t="shared" si="2"/>
        <v>33.5</v>
      </c>
    </row>
    <row r="6" spans="1:18">
      <c r="A6" s="8" t="s">
        <v>29</v>
      </c>
      <c r="B6" s="9" t="s">
        <v>62</v>
      </c>
      <c r="C6" s="9"/>
      <c r="D6">
        <v>1</v>
      </c>
      <c r="E6">
        <v>8.5</v>
      </c>
      <c r="F6">
        <v>2</v>
      </c>
      <c r="G6">
        <v>7.5</v>
      </c>
      <c r="H6">
        <v>8</v>
      </c>
      <c r="I6">
        <v>10</v>
      </c>
      <c r="J6">
        <v>4</v>
      </c>
      <c r="K6">
        <v>8</v>
      </c>
      <c r="L6">
        <v>9.5</v>
      </c>
      <c r="M6">
        <f t="shared" si="0"/>
        <v>58.5</v>
      </c>
      <c r="N6">
        <f t="shared" si="1"/>
        <v>17</v>
      </c>
      <c r="O6">
        <v>21.5</v>
      </c>
      <c r="P6">
        <f t="shared" si="2"/>
        <v>38.5</v>
      </c>
    </row>
    <row r="7" spans="1:18">
      <c r="A7" s="8" t="s">
        <v>30</v>
      </c>
      <c r="B7" s="9" t="s">
        <v>63</v>
      </c>
      <c r="C7" s="9">
        <v>9</v>
      </c>
      <c r="D7">
        <v>5.5</v>
      </c>
      <c r="E7">
        <v>9</v>
      </c>
      <c r="F7">
        <v>2</v>
      </c>
      <c r="G7">
        <v>6.5</v>
      </c>
      <c r="H7">
        <v>9</v>
      </c>
      <c r="I7">
        <v>14</v>
      </c>
      <c r="J7">
        <v>0</v>
      </c>
      <c r="K7">
        <v>6</v>
      </c>
      <c r="L7">
        <v>9</v>
      </c>
      <c r="M7">
        <f t="shared" si="0"/>
        <v>70</v>
      </c>
      <c r="N7">
        <f t="shared" si="1"/>
        <v>21</v>
      </c>
      <c r="O7">
        <v>23</v>
      </c>
      <c r="P7">
        <f t="shared" si="2"/>
        <v>44</v>
      </c>
    </row>
    <row r="8" spans="1:18">
      <c r="A8" s="8" t="s">
        <v>31</v>
      </c>
      <c r="B8" s="9" t="s">
        <v>64</v>
      </c>
      <c r="C8" s="9"/>
      <c r="D8">
        <v>0</v>
      </c>
      <c r="E8">
        <v>5.5</v>
      </c>
      <c r="F8">
        <v>0</v>
      </c>
      <c r="G8">
        <v>0</v>
      </c>
      <c r="H8">
        <v>0</v>
      </c>
      <c r="I8">
        <v>0</v>
      </c>
      <c r="M8">
        <f t="shared" si="0"/>
        <v>5.5</v>
      </c>
      <c r="N8">
        <f t="shared" si="1"/>
        <v>2</v>
      </c>
      <c r="O8">
        <v>4.5</v>
      </c>
      <c r="P8">
        <f t="shared" si="2"/>
        <v>6.5</v>
      </c>
    </row>
    <row r="9" spans="1:18">
      <c r="A9" s="8" t="s">
        <v>32</v>
      </c>
      <c r="B9" s="9" t="s">
        <v>65</v>
      </c>
      <c r="C9" s="9">
        <v>7</v>
      </c>
      <c r="D9">
        <v>6</v>
      </c>
      <c r="E9">
        <v>8</v>
      </c>
      <c r="F9">
        <v>2</v>
      </c>
      <c r="G9">
        <v>6.5</v>
      </c>
      <c r="H9">
        <v>8.5</v>
      </c>
      <c r="I9">
        <v>16</v>
      </c>
      <c r="J9">
        <v>10</v>
      </c>
      <c r="K9">
        <v>9</v>
      </c>
      <c r="L9">
        <v>9.5</v>
      </c>
      <c r="M9">
        <f t="shared" si="0"/>
        <v>82.5</v>
      </c>
      <c r="N9">
        <f t="shared" si="1"/>
        <v>24</v>
      </c>
      <c r="O9">
        <v>17.5</v>
      </c>
      <c r="P9">
        <f t="shared" si="2"/>
        <v>41.5</v>
      </c>
    </row>
    <row r="10" spans="1:18">
      <c r="A10" s="8" t="s">
        <v>33</v>
      </c>
      <c r="B10" s="9" t="s">
        <v>66</v>
      </c>
      <c r="C10">
        <v>7.5</v>
      </c>
      <c r="D10">
        <v>6.5</v>
      </c>
      <c r="E10">
        <v>8.5</v>
      </c>
      <c r="F10">
        <v>2</v>
      </c>
      <c r="G10">
        <v>7</v>
      </c>
      <c r="H10">
        <v>8.5</v>
      </c>
      <c r="I10">
        <v>11</v>
      </c>
      <c r="J10">
        <v>0</v>
      </c>
      <c r="K10">
        <v>4</v>
      </c>
      <c r="M10">
        <f t="shared" si="0"/>
        <v>55</v>
      </c>
      <c r="N10">
        <f t="shared" si="1"/>
        <v>16</v>
      </c>
      <c r="O10">
        <v>15.5</v>
      </c>
      <c r="P10">
        <f t="shared" si="2"/>
        <v>31.5</v>
      </c>
    </row>
    <row r="11" spans="1:18">
      <c r="A11" s="8" t="s">
        <v>34</v>
      </c>
      <c r="B11" s="9" t="s">
        <v>67</v>
      </c>
      <c r="C11">
        <v>7</v>
      </c>
      <c r="D11">
        <v>4.5</v>
      </c>
      <c r="E11">
        <v>8</v>
      </c>
      <c r="F11">
        <v>2</v>
      </c>
      <c r="G11">
        <v>8.5</v>
      </c>
      <c r="H11">
        <v>7.5</v>
      </c>
      <c r="I11">
        <v>14</v>
      </c>
      <c r="J11">
        <v>10</v>
      </c>
      <c r="K11">
        <v>8</v>
      </c>
      <c r="L11">
        <v>9</v>
      </c>
      <c r="M11">
        <f t="shared" si="0"/>
        <v>78.5</v>
      </c>
      <c r="N11">
        <f t="shared" si="1"/>
        <v>23</v>
      </c>
      <c r="O11">
        <v>22</v>
      </c>
      <c r="P11">
        <f t="shared" si="2"/>
        <v>45</v>
      </c>
    </row>
    <row r="12" spans="1:18">
      <c r="A12" s="8" t="s">
        <v>35</v>
      </c>
      <c r="B12" s="9" t="s">
        <v>68</v>
      </c>
      <c r="C12" s="10">
        <v>7</v>
      </c>
      <c r="D12">
        <v>4.5</v>
      </c>
      <c r="E12">
        <v>6</v>
      </c>
      <c r="F12">
        <v>0</v>
      </c>
      <c r="G12">
        <v>6</v>
      </c>
      <c r="H12">
        <v>6.5</v>
      </c>
      <c r="I12">
        <v>8</v>
      </c>
      <c r="J12">
        <v>0</v>
      </c>
      <c r="K12">
        <v>2</v>
      </c>
      <c r="M12">
        <f t="shared" si="0"/>
        <v>40</v>
      </c>
      <c r="N12">
        <f t="shared" si="1"/>
        <v>12</v>
      </c>
      <c r="O12">
        <v>22</v>
      </c>
      <c r="P12">
        <f t="shared" si="2"/>
        <v>34</v>
      </c>
    </row>
    <row r="13" spans="1:18">
      <c r="A13" s="8" t="s">
        <v>36</v>
      </c>
      <c r="B13" s="9" t="s">
        <v>69</v>
      </c>
      <c r="C13" s="10">
        <v>7</v>
      </c>
      <c r="D13">
        <v>5.5</v>
      </c>
      <c r="E13">
        <v>8</v>
      </c>
      <c r="F13">
        <v>2</v>
      </c>
      <c r="G13">
        <v>7</v>
      </c>
      <c r="H13">
        <v>7.5</v>
      </c>
      <c r="I13">
        <v>12</v>
      </c>
      <c r="J13">
        <v>4</v>
      </c>
      <c r="K13">
        <v>5</v>
      </c>
      <c r="L13">
        <v>9</v>
      </c>
      <c r="M13">
        <f t="shared" si="0"/>
        <v>67</v>
      </c>
      <c r="N13">
        <f t="shared" si="1"/>
        <v>20</v>
      </c>
      <c r="O13">
        <v>19</v>
      </c>
      <c r="P13">
        <f t="shared" si="2"/>
        <v>39</v>
      </c>
    </row>
    <row r="14" spans="1:18">
      <c r="A14" s="8">
        <v>28256</v>
      </c>
      <c r="B14" s="9" t="s">
        <v>70</v>
      </c>
      <c r="C14">
        <v>8.5</v>
      </c>
      <c r="D14">
        <v>8.5</v>
      </c>
      <c r="E14">
        <v>7</v>
      </c>
      <c r="F14">
        <v>2</v>
      </c>
      <c r="G14">
        <v>9</v>
      </c>
      <c r="H14">
        <v>7</v>
      </c>
      <c r="I14">
        <v>20</v>
      </c>
      <c r="J14">
        <v>4</v>
      </c>
      <c r="K14">
        <v>7</v>
      </c>
      <c r="M14">
        <f t="shared" si="0"/>
        <v>73</v>
      </c>
      <c r="N14">
        <f t="shared" si="1"/>
        <v>21</v>
      </c>
      <c r="O14">
        <v>21</v>
      </c>
      <c r="P14">
        <f t="shared" si="2"/>
        <v>42</v>
      </c>
    </row>
    <row r="15" spans="1:18">
      <c r="A15" s="8" t="s">
        <v>38</v>
      </c>
      <c r="B15" s="9" t="s">
        <v>71</v>
      </c>
      <c r="C15">
        <v>7</v>
      </c>
      <c r="D15">
        <v>6.5</v>
      </c>
      <c r="E15">
        <v>8.5</v>
      </c>
      <c r="F15">
        <v>2</v>
      </c>
      <c r="G15">
        <v>8</v>
      </c>
      <c r="H15">
        <v>9</v>
      </c>
      <c r="I15">
        <v>20</v>
      </c>
      <c r="J15">
        <v>0</v>
      </c>
      <c r="K15">
        <v>5</v>
      </c>
      <c r="L15">
        <v>9</v>
      </c>
      <c r="M15">
        <f t="shared" si="0"/>
        <v>75</v>
      </c>
      <c r="N15">
        <f t="shared" si="1"/>
        <v>22</v>
      </c>
      <c r="O15">
        <v>23</v>
      </c>
      <c r="P15">
        <f t="shared" si="2"/>
        <v>45</v>
      </c>
    </row>
    <row r="16" spans="1:18">
      <c r="A16" s="8" t="s">
        <v>40</v>
      </c>
      <c r="B16" s="9" t="s">
        <v>73</v>
      </c>
      <c r="C16">
        <v>7</v>
      </c>
      <c r="D16">
        <v>10</v>
      </c>
      <c r="E16">
        <v>7</v>
      </c>
      <c r="F16">
        <v>2</v>
      </c>
      <c r="G16">
        <v>8.5</v>
      </c>
      <c r="H16">
        <v>4.5</v>
      </c>
      <c r="I16">
        <v>11</v>
      </c>
      <c r="J16">
        <v>2</v>
      </c>
      <c r="K16">
        <v>0</v>
      </c>
      <c r="L16">
        <v>9</v>
      </c>
      <c r="M16">
        <f t="shared" si="0"/>
        <v>61</v>
      </c>
      <c r="N16">
        <f t="shared" si="1"/>
        <v>18</v>
      </c>
      <c r="O16">
        <v>12</v>
      </c>
      <c r="P16">
        <f t="shared" si="2"/>
        <v>30</v>
      </c>
    </row>
    <row r="17" spans="1:16">
      <c r="A17" s="8" t="s">
        <v>41</v>
      </c>
      <c r="B17" s="9" t="s">
        <v>74</v>
      </c>
      <c r="C17">
        <v>7</v>
      </c>
      <c r="D17">
        <v>0</v>
      </c>
      <c r="E17">
        <v>5.5</v>
      </c>
      <c r="F17">
        <v>0</v>
      </c>
      <c r="G17">
        <v>6.5</v>
      </c>
      <c r="H17">
        <v>8</v>
      </c>
      <c r="I17">
        <v>14</v>
      </c>
      <c r="J17">
        <v>5</v>
      </c>
      <c r="K17">
        <v>2</v>
      </c>
      <c r="M17">
        <f t="shared" si="0"/>
        <v>48</v>
      </c>
      <c r="N17">
        <f t="shared" si="1"/>
        <v>14</v>
      </c>
      <c r="O17">
        <v>20</v>
      </c>
      <c r="P17">
        <f t="shared" si="2"/>
        <v>34</v>
      </c>
    </row>
    <row r="18" spans="1:16">
      <c r="A18" s="8" t="s">
        <v>43</v>
      </c>
      <c r="B18" s="9" t="s">
        <v>76</v>
      </c>
      <c r="C18">
        <v>9</v>
      </c>
      <c r="D18">
        <v>9.5</v>
      </c>
      <c r="E18">
        <v>9</v>
      </c>
      <c r="F18">
        <v>2</v>
      </c>
      <c r="G18">
        <v>5.5</v>
      </c>
      <c r="H18">
        <v>7</v>
      </c>
      <c r="I18">
        <v>14</v>
      </c>
      <c r="J18">
        <v>4</v>
      </c>
      <c r="K18">
        <v>5</v>
      </c>
      <c r="M18">
        <f t="shared" si="0"/>
        <v>65</v>
      </c>
      <c r="N18">
        <f t="shared" si="1"/>
        <v>19</v>
      </c>
      <c r="O18">
        <v>20.5</v>
      </c>
      <c r="P18">
        <f t="shared" si="2"/>
        <v>39.5</v>
      </c>
    </row>
    <row r="19" spans="1:16">
      <c r="A19" s="8" t="s">
        <v>44</v>
      </c>
      <c r="B19" s="9" t="s">
        <v>77</v>
      </c>
      <c r="C19">
        <v>8.5</v>
      </c>
      <c r="F19">
        <v>2</v>
      </c>
      <c r="I19">
        <v>15</v>
      </c>
      <c r="J19">
        <v>8</v>
      </c>
      <c r="K19">
        <v>2</v>
      </c>
      <c r="L19">
        <v>9.5</v>
      </c>
      <c r="M19">
        <f t="shared" si="0"/>
        <v>45</v>
      </c>
      <c r="N19">
        <f t="shared" si="1"/>
        <v>13</v>
      </c>
      <c r="O19">
        <v>20.5</v>
      </c>
      <c r="P19">
        <f t="shared" si="2"/>
        <v>33.5</v>
      </c>
    </row>
    <row r="20" spans="1:16">
      <c r="A20" s="8" t="s">
        <v>45</v>
      </c>
      <c r="B20" s="9" t="s">
        <v>78</v>
      </c>
      <c r="C20">
        <v>8.5</v>
      </c>
      <c r="D20">
        <v>0</v>
      </c>
      <c r="E20">
        <v>0</v>
      </c>
      <c r="F20">
        <v>2</v>
      </c>
      <c r="G20">
        <v>7</v>
      </c>
      <c r="H20">
        <v>8</v>
      </c>
      <c r="I20">
        <v>18</v>
      </c>
      <c r="J20">
        <v>10</v>
      </c>
      <c r="K20">
        <v>0</v>
      </c>
      <c r="L20">
        <v>9</v>
      </c>
      <c r="M20">
        <f t="shared" si="0"/>
        <v>62.5</v>
      </c>
      <c r="N20">
        <f t="shared" si="1"/>
        <v>18</v>
      </c>
      <c r="O20">
        <v>21</v>
      </c>
      <c r="P20">
        <f t="shared" si="2"/>
        <v>39</v>
      </c>
    </row>
    <row r="21" spans="1:16">
      <c r="A21" s="8" t="s">
        <v>46</v>
      </c>
      <c r="B21" s="9" t="s">
        <v>79</v>
      </c>
      <c r="C21">
        <v>7</v>
      </c>
      <c r="D21">
        <v>7</v>
      </c>
      <c r="E21">
        <v>8.5</v>
      </c>
      <c r="F21">
        <v>2</v>
      </c>
      <c r="G21">
        <v>6</v>
      </c>
      <c r="H21">
        <v>6</v>
      </c>
      <c r="I21">
        <v>16</v>
      </c>
      <c r="J21">
        <v>2</v>
      </c>
      <c r="K21">
        <v>4</v>
      </c>
      <c r="M21">
        <f t="shared" si="0"/>
        <v>58.5</v>
      </c>
      <c r="N21">
        <f t="shared" si="1"/>
        <v>17</v>
      </c>
      <c r="O21">
        <v>19</v>
      </c>
      <c r="P21">
        <f t="shared" si="2"/>
        <v>36</v>
      </c>
    </row>
    <row r="22" spans="1:16">
      <c r="A22" s="8" t="s">
        <v>47</v>
      </c>
      <c r="B22" s="9" t="s">
        <v>80</v>
      </c>
      <c r="C22">
        <v>7</v>
      </c>
      <c r="D22">
        <v>6</v>
      </c>
      <c r="E22">
        <v>4</v>
      </c>
      <c r="F22">
        <v>0</v>
      </c>
      <c r="G22">
        <v>7.5</v>
      </c>
      <c r="H22">
        <v>7</v>
      </c>
      <c r="J22">
        <v>7</v>
      </c>
      <c r="K22">
        <v>3</v>
      </c>
      <c r="L22">
        <v>9</v>
      </c>
      <c r="M22">
        <f t="shared" si="0"/>
        <v>50.5</v>
      </c>
      <c r="N22">
        <f t="shared" si="1"/>
        <v>15</v>
      </c>
      <c r="O22">
        <v>15.5</v>
      </c>
      <c r="P22">
        <f t="shared" si="2"/>
        <v>30.5</v>
      </c>
    </row>
    <row r="23" spans="1:16">
      <c r="A23" s="8" t="s">
        <v>48</v>
      </c>
      <c r="B23" s="9" t="s">
        <v>81</v>
      </c>
      <c r="C23">
        <v>9</v>
      </c>
      <c r="D23">
        <v>9</v>
      </c>
      <c r="E23">
        <v>7.5</v>
      </c>
      <c r="F23">
        <v>2</v>
      </c>
      <c r="G23">
        <v>7.5</v>
      </c>
      <c r="H23">
        <v>7.5</v>
      </c>
      <c r="I23">
        <v>19</v>
      </c>
      <c r="J23">
        <v>5</v>
      </c>
      <c r="K23">
        <v>2</v>
      </c>
      <c r="L23">
        <v>9.5</v>
      </c>
      <c r="M23">
        <f t="shared" si="0"/>
        <v>78</v>
      </c>
      <c r="N23">
        <f t="shared" si="1"/>
        <v>23</v>
      </c>
      <c r="O23">
        <v>19</v>
      </c>
      <c r="P23">
        <f t="shared" si="2"/>
        <v>42</v>
      </c>
    </row>
    <row r="24" spans="1:16">
      <c r="A24" s="8" t="s">
        <v>49</v>
      </c>
      <c r="B24" s="9" t="s">
        <v>82</v>
      </c>
      <c r="C24">
        <v>8.5</v>
      </c>
      <c r="D24">
        <v>8.5</v>
      </c>
      <c r="E24">
        <v>6.5</v>
      </c>
      <c r="F24">
        <v>2</v>
      </c>
      <c r="G24">
        <v>8</v>
      </c>
      <c r="H24">
        <v>8</v>
      </c>
      <c r="I24">
        <v>16</v>
      </c>
      <c r="J24">
        <v>0</v>
      </c>
      <c r="K24">
        <v>0</v>
      </c>
      <c r="L24">
        <v>8</v>
      </c>
      <c r="M24">
        <f t="shared" si="0"/>
        <v>65.5</v>
      </c>
      <c r="N24">
        <f t="shared" si="1"/>
        <v>19</v>
      </c>
      <c r="O24">
        <v>17.5</v>
      </c>
      <c r="P24">
        <f t="shared" si="2"/>
        <v>36.5</v>
      </c>
    </row>
    <row r="25" spans="1:16">
      <c r="A25" s="8" t="s">
        <v>50</v>
      </c>
      <c r="B25" s="9" t="s">
        <v>83</v>
      </c>
      <c r="C25">
        <v>8.5</v>
      </c>
      <c r="D25">
        <v>3</v>
      </c>
      <c r="E25">
        <v>3.5</v>
      </c>
      <c r="F25">
        <v>2</v>
      </c>
      <c r="G25">
        <v>8.5</v>
      </c>
      <c r="H25">
        <v>4.5</v>
      </c>
      <c r="I25">
        <v>14</v>
      </c>
      <c r="J25">
        <v>2</v>
      </c>
      <c r="K25">
        <v>2</v>
      </c>
      <c r="L25">
        <v>9</v>
      </c>
      <c r="M25">
        <f t="shared" si="0"/>
        <v>57</v>
      </c>
      <c r="N25">
        <f t="shared" si="1"/>
        <v>17</v>
      </c>
      <c r="O25">
        <v>16.5</v>
      </c>
      <c r="P25">
        <f t="shared" si="2"/>
        <v>33.5</v>
      </c>
    </row>
    <row r="26" spans="1:16">
      <c r="A26" s="8" t="s">
        <v>51</v>
      </c>
      <c r="B26" s="9" t="s">
        <v>84</v>
      </c>
      <c r="C26">
        <v>9</v>
      </c>
      <c r="D26">
        <v>4.5</v>
      </c>
      <c r="E26">
        <v>7</v>
      </c>
      <c r="F26">
        <v>2</v>
      </c>
      <c r="G26">
        <v>6</v>
      </c>
      <c r="H26">
        <v>4.5</v>
      </c>
      <c r="I26">
        <v>0</v>
      </c>
      <c r="J26">
        <v>4</v>
      </c>
      <c r="K26">
        <v>4</v>
      </c>
      <c r="L26">
        <v>9</v>
      </c>
      <c r="M26">
        <f t="shared" si="0"/>
        <v>50</v>
      </c>
      <c r="N26">
        <f t="shared" si="1"/>
        <v>15</v>
      </c>
      <c r="O26">
        <v>24</v>
      </c>
      <c r="P26">
        <f t="shared" si="2"/>
        <v>39</v>
      </c>
    </row>
    <row r="27" spans="1:16" s="12" customFormat="1">
      <c r="A27" s="13">
        <v>28472</v>
      </c>
      <c r="B27" s="13"/>
      <c r="D27" s="12">
        <v>8.5</v>
      </c>
      <c r="E27" s="12">
        <v>10</v>
      </c>
      <c r="F27" s="12">
        <v>0</v>
      </c>
      <c r="G27" s="12">
        <v>0</v>
      </c>
      <c r="H27" s="12">
        <v>0</v>
      </c>
      <c r="I27" s="12">
        <v>0</v>
      </c>
      <c r="M27">
        <f t="shared" si="0"/>
        <v>18.5</v>
      </c>
      <c r="N27">
        <f t="shared" si="1"/>
        <v>5</v>
      </c>
      <c r="P27">
        <f t="shared" si="2"/>
        <v>5</v>
      </c>
    </row>
    <row r="28" spans="1:16" s="12" customFormat="1">
      <c r="A28" s="13">
        <v>28049</v>
      </c>
      <c r="B28" s="13"/>
      <c r="C28" s="12">
        <v>7</v>
      </c>
      <c r="D28" s="12">
        <v>8</v>
      </c>
      <c r="E28" s="12">
        <v>7</v>
      </c>
      <c r="F28" s="12">
        <v>1</v>
      </c>
      <c r="G28" s="12">
        <v>0</v>
      </c>
      <c r="H28" s="12">
        <v>0</v>
      </c>
      <c r="I28" s="12">
        <v>0</v>
      </c>
      <c r="M28">
        <f t="shared" si="0"/>
        <v>23</v>
      </c>
      <c r="N28">
        <f t="shared" si="1"/>
        <v>7</v>
      </c>
      <c r="P28">
        <f t="shared" si="2"/>
        <v>7</v>
      </c>
    </row>
    <row r="29" spans="1:16" s="12" customFormat="1">
      <c r="A29" s="13">
        <v>28421</v>
      </c>
      <c r="B29" s="13"/>
      <c r="D29" s="12">
        <v>7</v>
      </c>
      <c r="E29" s="12">
        <v>7.5</v>
      </c>
      <c r="F29" s="12">
        <v>2</v>
      </c>
      <c r="G29" s="12">
        <v>0</v>
      </c>
      <c r="H29" s="12">
        <v>0</v>
      </c>
      <c r="I29" s="12">
        <v>0</v>
      </c>
      <c r="M29">
        <f t="shared" si="0"/>
        <v>16.5</v>
      </c>
      <c r="N29">
        <f t="shared" si="1"/>
        <v>5</v>
      </c>
      <c r="P29">
        <f t="shared" si="2"/>
        <v>5</v>
      </c>
    </row>
    <row r="30" spans="1:16" s="12" customFormat="1">
      <c r="A30" s="11" t="s">
        <v>20</v>
      </c>
      <c r="B30" s="11" t="s">
        <v>53</v>
      </c>
      <c r="C30" s="11"/>
      <c r="D30" s="12">
        <v>0</v>
      </c>
      <c r="E30" s="12">
        <v>3</v>
      </c>
      <c r="F30" s="12">
        <v>0</v>
      </c>
      <c r="G30" s="12">
        <v>0</v>
      </c>
      <c r="H30" s="12">
        <v>0</v>
      </c>
      <c r="I30" s="12">
        <v>0</v>
      </c>
      <c r="M30">
        <f t="shared" si="0"/>
        <v>3</v>
      </c>
      <c r="N30">
        <f t="shared" si="1"/>
        <v>1</v>
      </c>
      <c r="P30">
        <f t="shared" si="2"/>
        <v>1</v>
      </c>
    </row>
    <row r="31" spans="1:16" s="12" customFormat="1">
      <c r="A31" s="11" t="s">
        <v>21</v>
      </c>
      <c r="B31" s="11" t="s">
        <v>54</v>
      </c>
      <c r="C31" s="11"/>
      <c r="M31">
        <f t="shared" si="0"/>
        <v>0</v>
      </c>
      <c r="N31">
        <f t="shared" si="1"/>
        <v>0</v>
      </c>
      <c r="P31">
        <f t="shared" si="2"/>
        <v>0</v>
      </c>
    </row>
    <row r="32" spans="1:16" s="12" customFormat="1">
      <c r="A32" s="11" t="s">
        <v>14</v>
      </c>
      <c r="B32" s="11" t="s">
        <v>16</v>
      </c>
      <c r="C32" s="11"/>
      <c r="M32">
        <f t="shared" si="0"/>
        <v>0</v>
      </c>
      <c r="N32">
        <f t="shared" si="1"/>
        <v>0</v>
      </c>
      <c r="P32">
        <f t="shared" si="2"/>
        <v>0</v>
      </c>
    </row>
    <row r="33" spans="1:16" s="12" customFormat="1">
      <c r="A33" s="11" t="s">
        <v>22</v>
      </c>
      <c r="B33" s="11" t="s">
        <v>55</v>
      </c>
      <c r="C33" s="11"/>
      <c r="M33">
        <f t="shared" si="0"/>
        <v>0</v>
      </c>
      <c r="N33">
        <f t="shared" si="1"/>
        <v>0</v>
      </c>
      <c r="P33">
        <f t="shared" si="2"/>
        <v>0</v>
      </c>
    </row>
    <row r="34" spans="1:16" s="12" customFormat="1">
      <c r="A34" s="11" t="s">
        <v>24</v>
      </c>
      <c r="B34" s="11" t="s">
        <v>57</v>
      </c>
      <c r="C34" s="11"/>
      <c r="M34">
        <f t="shared" si="0"/>
        <v>0</v>
      </c>
      <c r="N34">
        <f t="shared" si="1"/>
        <v>0</v>
      </c>
      <c r="P34">
        <f t="shared" si="2"/>
        <v>0</v>
      </c>
    </row>
    <row r="35" spans="1:16" s="12" customFormat="1">
      <c r="A35" s="11" t="s">
        <v>27</v>
      </c>
      <c r="B35" s="11" t="s">
        <v>60</v>
      </c>
      <c r="C35" s="11"/>
      <c r="J35" s="12">
        <v>6</v>
      </c>
      <c r="K35" s="12">
        <v>3</v>
      </c>
      <c r="M35">
        <f t="shared" si="0"/>
        <v>9</v>
      </c>
      <c r="N35">
        <f t="shared" si="1"/>
        <v>3</v>
      </c>
      <c r="O35" s="12">
        <v>11</v>
      </c>
      <c r="P35">
        <f t="shared" si="2"/>
        <v>14</v>
      </c>
    </row>
    <row r="36" spans="1:16" s="12" customFormat="1">
      <c r="A36" s="11" t="s">
        <v>28</v>
      </c>
      <c r="B36" s="11" t="s">
        <v>61</v>
      </c>
      <c r="C36" s="11"/>
      <c r="D36" s="12">
        <v>3.5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M36">
        <f t="shared" si="0"/>
        <v>3.5</v>
      </c>
      <c r="N36">
        <f t="shared" si="1"/>
        <v>1</v>
      </c>
      <c r="P36">
        <f t="shared" si="2"/>
        <v>1</v>
      </c>
    </row>
    <row r="37" spans="1:16" s="12" customFormat="1">
      <c r="A37" s="11" t="s">
        <v>39</v>
      </c>
      <c r="B37" s="11" t="s">
        <v>72</v>
      </c>
      <c r="M37">
        <f t="shared" si="0"/>
        <v>0</v>
      </c>
      <c r="N37">
        <f t="shared" si="1"/>
        <v>0</v>
      </c>
      <c r="P37">
        <f t="shared" si="2"/>
        <v>0</v>
      </c>
    </row>
    <row r="38" spans="1:16" s="12" customFormat="1">
      <c r="A38" s="11" t="s">
        <v>42</v>
      </c>
      <c r="B38" s="11" t="s">
        <v>75</v>
      </c>
      <c r="C38" s="12">
        <v>8.5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M38">
        <f t="shared" si="0"/>
        <v>8.5</v>
      </c>
      <c r="N38">
        <f t="shared" si="1"/>
        <v>3</v>
      </c>
      <c r="P38">
        <f t="shared" si="2"/>
        <v>3</v>
      </c>
    </row>
    <row r="39" spans="1:16">
      <c r="A39" s="4"/>
      <c r="B39" s="6"/>
    </row>
    <row r="40" spans="1:16">
      <c r="A40" s="4"/>
      <c r="B40" s="6"/>
    </row>
    <row r="41" spans="1:16">
      <c r="A41" s="4"/>
      <c r="B4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zoomScale="257" zoomScaleNormal="100" workbookViewId="0">
      <selection activeCell="A11" sqref="A11"/>
    </sheetView>
  </sheetViews>
  <sheetFormatPr defaultRowHeight="15"/>
  <cols>
    <col min="1" max="1" width="17.140625" customWidth="1"/>
    <col min="2" max="2" width="35" hidden="1" customWidth="1"/>
    <col min="3" max="3" width="12.42578125" hidden="1" customWidth="1"/>
    <col min="4" max="4" width="0" hidden="1" customWidth="1"/>
    <col min="5" max="5" width="11.42578125" hidden="1" customWidth="1"/>
    <col min="6" max="7" width="0" hidden="1" customWidth="1"/>
    <col min="8" max="8" width="11.5703125" hidden="1" customWidth="1"/>
    <col min="9" max="9" width="11.85546875" hidden="1" customWidth="1"/>
    <col min="10" max="10" width="11.7109375" hidden="1" customWidth="1"/>
    <col min="11" max="11" width="11" hidden="1" customWidth="1"/>
    <col min="12" max="12" width="11.140625" hidden="1" customWidth="1"/>
    <col min="13" max="13" width="0" style="1" hidden="1" customWidth="1"/>
    <col min="14" max="23" width="0" hidden="1" customWidth="1"/>
    <col min="24" max="24" width="0" style="7" hidden="1" customWidth="1"/>
    <col min="25" max="25" width="14.42578125" customWidth="1"/>
    <col min="26" max="26" width="13.28515625" customWidth="1"/>
  </cols>
  <sheetData>
    <row r="1" spans="1:26" s="2" customFormat="1">
      <c r="A1" s="2" t="s">
        <v>0</v>
      </c>
      <c r="B1" s="2" t="s">
        <v>15</v>
      </c>
      <c r="C1" s="2" t="s">
        <v>85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/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10</v>
      </c>
      <c r="U1" s="2" t="s">
        <v>11</v>
      </c>
      <c r="V1" s="2" t="s">
        <v>12</v>
      </c>
      <c r="W1" s="2" t="s">
        <v>13</v>
      </c>
      <c r="X1" s="5"/>
      <c r="Y1" s="2" t="s">
        <v>17</v>
      </c>
      <c r="Z1" s="2" t="s">
        <v>18</v>
      </c>
    </row>
    <row r="2" spans="1:26">
      <c r="A2" s="9" t="s">
        <v>19</v>
      </c>
      <c r="B2" s="9" t="s">
        <v>52</v>
      </c>
      <c r="C2" s="9"/>
      <c r="N2">
        <v>0</v>
      </c>
      <c r="O2">
        <v>4.5</v>
      </c>
      <c r="P2">
        <v>2</v>
      </c>
      <c r="Q2">
        <v>4</v>
      </c>
      <c r="R2">
        <v>7.5</v>
      </c>
      <c r="S2">
        <v>0</v>
      </c>
      <c r="Y2">
        <v>8.5</v>
      </c>
    </row>
    <row r="3" spans="1:26">
      <c r="A3" s="9" t="s">
        <v>20</v>
      </c>
      <c r="B3" s="9" t="s">
        <v>53</v>
      </c>
      <c r="C3" s="9"/>
      <c r="N3">
        <v>0</v>
      </c>
      <c r="O3">
        <v>3</v>
      </c>
      <c r="P3">
        <v>0</v>
      </c>
      <c r="Q3">
        <v>0</v>
      </c>
      <c r="R3">
        <v>0</v>
      </c>
      <c r="S3">
        <v>0</v>
      </c>
    </row>
    <row r="4" spans="1:26">
      <c r="A4" s="9" t="s">
        <v>21</v>
      </c>
      <c r="B4" s="9" t="s">
        <v>54</v>
      </c>
      <c r="C4" s="9"/>
    </row>
    <row r="5" spans="1:26">
      <c r="A5" s="9" t="s">
        <v>14</v>
      </c>
      <c r="B5" s="9" t="s">
        <v>16</v>
      </c>
      <c r="C5" s="9"/>
    </row>
    <row r="6" spans="1:26">
      <c r="A6" s="9" t="s">
        <v>22</v>
      </c>
      <c r="B6" s="9" t="s">
        <v>55</v>
      </c>
      <c r="C6" s="9"/>
    </row>
    <row r="7" spans="1:26">
      <c r="A7" s="9" t="s">
        <v>23</v>
      </c>
      <c r="B7" s="9" t="s">
        <v>56</v>
      </c>
      <c r="C7" s="9"/>
      <c r="N7">
        <v>3</v>
      </c>
      <c r="O7">
        <v>10</v>
      </c>
      <c r="P7">
        <v>0</v>
      </c>
      <c r="Q7">
        <v>7.5</v>
      </c>
      <c r="R7">
        <v>8.5</v>
      </c>
      <c r="S7">
        <v>12</v>
      </c>
      <c r="Y7">
        <v>18.5</v>
      </c>
    </row>
    <row r="8" spans="1:26">
      <c r="A8" s="9" t="s">
        <v>24</v>
      </c>
      <c r="B8" s="9" t="s">
        <v>57</v>
      </c>
      <c r="C8" s="9"/>
    </row>
    <row r="9" spans="1:26">
      <c r="A9" s="9" t="s">
        <v>25</v>
      </c>
      <c r="B9" s="9" t="s">
        <v>58</v>
      </c>
      <c r="C9" s="9"/>
      <c r="N9">
        <v>5.5</v>
      </c>
      <c r="O9">
        <v>7.5</v>
      </c>
      <c r="P9">
        <v>2</v>
      </c>
      <c r="Q9">
        <v>9</v>
      </c>
      <c r="R9">
        <v>9</v>
      </c>
      <c r="S9">
        <v>7</v>
      </c>
      <c r="Y9">
        <v>24.5</v>
      </c>
    </row>
    <row r="10" spans="1:26">
      <c r="A10" s="9" t="s">
        <v>26</v>
      </c>
      <c r="B10" s="9" t="s">
        <v>59</v>
      </c>
      <c r="C10" s="9"/>
      <c r="N10">
        <v>0</v>
      </c>
      <c r="O10">
        <v>7</v>
      </c>
      <c r="P10">
        <v>0</v>
      </c>
      <c r="Q10">
        <v>0</v>
      </c>
      <c r="R10">
        <v>0</v>
      </c>
      <c r="S10">
        <v>0</v>
      </c>
      <c r="Y10">
        <v>22</v>
      </c>
    </row>
    <row r="11" spans="1:26">
      <c r="A11" s="9" t="s">
        <v>27</v>
      </c>
      <c r="B11" s="9" t="s">
        <v>60</v>
      </c>
      <c r="C11" s="9"/>
      <c r="Y11">
        <v>11</v>
      </c>
    </row>
    <row r="12" spans="1:26">
      <c r="A12" s="9" t="s">
        <v>28</v>
      </c>
      <c r="B12" s="9" t="s">
        <v>61</v>
      </c>
      <c r="C12" s="9"/>
      <c r="N12">
        <v>3.5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6">
      <c r="A13" s="9" t="s">
        <v>29</v>
      </c>
      <c r="B13" s="9" t="s">
        <v>62</v>
      </c>
      <c r="C13" s="9"/>
      <c r="N13">
        <v>1</v>
      </c>
      <c r="O13">
        <v>8.5</v>
      </c>
      <c r="P13">
        <v>2</v>
      </c>
      <c r="Q13">
        <v>7.5</v>
      </c>
      <c r="R13">
        <v>8</v>
      </c>
      <c r="S13">
        <v>10</v>
      </c>
      <c r="Y13">
        <v>21.5</v>
      </c>
    </row>
    <row r="14" spans="1:26">
      <c r="A14" s="9" t="s">
        <v>30</v>
      </c>
      <c r="B14" s="9" t="s">
        <v>63</v>
      </c>
      <c r="C14" s="9"/>
      <c r="N14">
        <v>4.5</v>
      </c>
      <c r="O14">
        <v>9</v>
      </c>
      <c r="P14">
        <v>2</v>
      </c>
      <c r="Q14">
        <v>6.5</v>
      </c>
      <c r="R14">
        <v>9</v>
      </c>
      <c r="S14">
        <v>14</v>
      </c>
      <c r="Y14">
        <v>23</v>
      </c>
    </row>
    <row r="15" spans="1:26">
      <c r="A15" s="9" t="s">
        <v>31</v>
      </c>
      <c r="B15" s="9" t="s">
        <v>64</v>
      </c>
      <c r="C15" s="9"/>
      <c r="N15">
        <v>0</v>
      </c>
      <c r="O15">
        <v>5.5</v>
      </c>
      <c r="P15">
        <v>0</v>
      </c>
      <c r="Q15">
        <v>0</v>
      </c>
      <c r="R15">
        <v>0</v>
      </c>
      <c r="S15">
        <v>0</v>
      </c>
      <c r="Y15">
        <v>4.5</v>
      </c>
    </row>
    <row r="16" spans="1:26">
      <c r="A16" s="9" t="s">
        <v>32</v>
      </c>
      <c r="B16" s="9" t="s">
        <v>65</v>
      </c>
      <c r="C16" s="9"/>
      <c r="N16">
        <v>6</v>
      </c>
      <c r="O16">
        <v>8</v>
      </c>
      <c r="P16">
        <v>2</v>
      </c>
      <c r="Q16">
        <v>6.5</v>
      </c>
      <c r="R16">
        <v>8.5</v>
      </c>
      <c r="S16">
        <v>16</v>
      </c>
      <c r="Y16">
        <v>17.5</v>
      </c>
    </row>
    <row r="17" spans="1:25">
      <c r="A17" s="9" t="s">
        <v>33</v>
      </c>
      <c r="B17" s="9" t="s">
        <v>66</v>
      </c>
      <c r="N17">
        <v>6.5</v>
      </c>
      <c r="O17">
        <v>8.5</v>
      </c>
      <c r="P17">
        <v>2</v>
      </c>
      <c r="Q17">
        <v>7</v>
      </c>
      <c r="R17">
        <v>8.5</v>
      </c>
      <c r="S17">
        <v>11</v>
      </c>
      <c r="Y17">
        <v>15.5</v>
      </c>
    </row>
    <row r="18" spans="1:25">
      <c r="A18" s="9" t="s">
        <v>34</v>
      </c>
      <c r="B18" s="9" t="s">
        <v>67</v>
      </c>
      <c r="N18">
        <v>4.5</v>
      </c>
      <c r="O18">
        <v>8</v>
      </c>
      <c r="P18">
        <v>2</v>
      </c>
      <c r="Q18">
        <v>8.5</v>
      </c>
      <c r="R18">
        <v>7.5</v>
      </c>
      <c r="S18">
        <v>14</v>
      </c>
      <c r="Y18">
        <v>22</v>
      </c>
    </row>
    <row r="19" spans="1:25">
      <c r="A19" s="9" t="s">
        <v>35</v>
      </c>
      <c r="B19" s="9" t="s">
        <v>68</v>
      </c>
      <c r="N19">
        <v>4.5</v>
      </c>
      <c r="O19">
        <v>6</v>
      </c>
      <c r="P19">
        <v>0</v>
      </c>
      <c r="Q19">
        <v>6</v>
      </c>
      <c r="R19">
        <v>6.5</v>
      </c>
      <c r="S19">
        <v>8</v>
      </c>
      <c r="Y19">
        <v>22</v>
      </c>
    </row>
    <row r="20" spans="1:25">
      <c r="A20" s="9" t="s">
        <v>36</v>
      </c>
      <c r="B20" s="9" t="s">
        <v>69</v>
      </c>
      <c r="N20">
        <v>5.5</v>
      </c>
      <c r="O20">
        <v>8</v>
      </c>
      <c r="P20">
        <v>2</v>
      </c>
      <c r="Q20">
        <v>7</v>
      </c>
      <c r="R20">
        <v>7.5</v>
      </c>
      <c r="S20">
        <v>12</v>
      </c>
      <c r="Y20">
        <v>19</v>
      </c>
    </row>
    <row r="21" spans="1:25">
      <c r="A21" s="9" t="s">
        <v>37</v>
      </c>
      <c r="B21" s="9" t="s">
        <v>70</v>
      </c>
      <c r="N21">
        <v>8.5</v>
      </c>
      <c r="O21">
        <v>7</v>
      </c>
      <c r="P21">
        <v>2</v>
      </c>
      <c r="Q21">
        <v>9</v>
      </c>
      <c r="R21">
        <v>7</v>
      </c>
      <c r="S21">
        <v>20</v>
      </c>
      <c r="Y21">
        <v>21</v>
      </c>
    </row>
    <row r="22" spans="1:25">
      <c r="A22" s="9" t="s">
        <v>38</v>
      </c>
      <c r="B22" s="9" t="s">
        <v>71</v>
      </c>
      <c r="N22">
        <v>6.5</v>
      </c>
      <c r="O22">
        <v>8.5</v>
      </c>
      <c r="P22">
        <v>2</v>
      </c>
      <c r="Q22">
        <v>8</v>
      </c>
      <c r="R22">
        <v>9</v>
      </c>
      <c r="S22">
        <v>20</v>
      </c>
      <c r="Y22">
        <v>23</v>
      </c>
    </row>
    <row r="23" spans="1:25">
      <c r="A23" s="9" t="s">
        <v>39</v>
      </c>
      <c r="B23" s="9" t="s">
        <v>72</v>
      </c>
    </row>
    <row r="24" spans="1:25">
      <c r="A24" s="9" t="s">
        <v>40</v>
      </c>
      <c r="B24" s="9" t="s">
        <v>73</v>
      </c>
      <c r="N24">
        <v>10</v>
      </c>
      <c r="O24">
        <v>7</v>
      </c>
      <c r="P24">
        <v>2</v>
      </c>
      <c r="Q24">
        <v>8.5</v>
      </c>
      <c r="R24">
        <v>4.5</v>
      </c>
      <c r="S24">
        <v>11</v>
      </c>
      <c r="Y24">
        <v>12</v>
      </c>
    </row>
    <row r="25" spans="1:25">
      <c r="A25" s="9" t="s">
        <v>41</v>
      </c>
      <c r="B25" s="9" t="s">
        <v>74</v>
      </c>
      <c r="N25">
        <v>0</v>
      </c>
      <c r="O25">
        <v>5.5</v>
      </c>
      <c r="P25">
        <v>0</v>
      </c>
      <c r="Q25">
        <v>6.5</v>
      </c>
      <c r="R25">
        <v>8</v>
      </c>
      <c r="S25">
        <v>14</v>
      </c>
      <c r="Y25">
        <v>20</v>
      </c>
    </row>
    <row r="26" spans="1:25">
      <c r="A26" s="9" t="s">
        <v>42</v>
      </c>
      <c r="B26" s="9" t="s">
        <v>75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5">
      <c r="A27" s="9" t="s">
        <v>43</v>
      </c>
      <c r="B27" s="9" t="s">
        <v>76</v>
      </c>
      <c r="N27">
        <v>9.5</v>
      </c>
      <c r="O27">
        <v>9</v>
      </c>
      <c r="P27">
        <v>2</v>
      </c>
      <c r="Q27">
        <v>5.5</v>
      </c>
      <c r="R27">
        <v>7</v>
      </c>
      <c r="S27">
        <v>14</v>
      </c>
      <c r="Y27">
        <v>20.5</v>
      </c>
    </row>
    <row r="28" spans="1:25">
      <c r="A28" s="9" t="s">
        <v>44</v>
      </c>
      <c r="B28" s="9" t="s">
        <v>77</v>
      </c>
      <c r="Y28">
        <v>20.5</v>
      </c>
    </row>
    <row r="29" spans="1:25">
      <c r="A29" s="9" t="s">
        <v>45</v>
      </c>
      <c r="B29" s="9" t="s">
        <v>78</v>
      </c>
      <c r="Y29">
        <v>21</v>
      </c>
    </row>
    <row r="30" spans="1:25">
      <c r="A30" s="9" t="s">
        <v>46</v>
      </c>
      <c r="B30" s="9" t="s">
        <v>79</v>
      </c>
      <c r="N30">
        <v>7</v>
      </c>
      <c r="O30">
        <v>8.5</v>
      </c>
      <c r="P30">
        <v>2</v>
      </c>
      <c r="Q30">
        <v>6</v>
      </c>
      <c r="R30">
        <v>6</v>
      </c>
      <c r="S30">
        <v>16</v>
      </c>
      <c r="Y30">
        <v>19</v>
      </c>
    </row>
    <row r="31" spans="1:25">
      <c r="A31" s="9" t="s">
        <v>47</v>
      </c>
      <c r="B31" s="9" t="s">
        <v>80</v>
      </c>
      <c r="N31">
        <v>6</v>
      </c>
      <c r="O31">
        <v>4</v>
      </c>
      <c r="P31">
        <v>0</v>
      </c>
      <c r="Q31">
        <v>7.5</v>
      </c>
      <c r="R31">
        <v>7</v>
      </c>
      <c r="Y31">
        <v>15.5</v>
      </c>
    </row>
    <row r="32" spans="1:25">
      <c r="A32" s="9" t="s">
        <v>48</v>
      </c>
      <c r="B32" s="9" t="s">
        <v>81</v>
      </c>
      <c r="N32">
        <v>9</v>
      </c>
      <c r="O32">
        <v>7.5</v>
      </c>
      <c r="P32">
        <v>2</v>
      </c>
      <c r="Q32">
        <v>7.5</v>
      </c>
      <c r="R32">
        <v>7.5</v>
      </c>
      <c r="S32">
        <v>19</v>
      </c>
      <c r="Y32">
        <v>19</v>
      </c>
    </row>
    <row r="33" spans="1:25">
      <c r="A33" s="9" t="s">
        <v>49</v>
      </c>
      <c r="B33" s="9" t="s">
        <v>82</v>
      </c>
      <c r="N33">
        <v>8.5</v>
      </c>
      <c r="O33">
        <v>6.5</v>
      </c>
      <c r="P33">
        <v>2</v>
      </c>
      <c r="Q33">
        <v>8</v>
      </c>
      <c r="R33">
        <v>8</v>
      </c>
      <c r="S33">
        <v>16</v>
      </c>
      <c r="Y33">
        <v>17.5</v>
      </c>
    </row>
    <row r="34" spans="1:25">
      <c r="A34" s="9" t="s">
        <v>50</v>
      </c>
      <c r="B34" s="9" t="s">
        <v>83</v>
      </c>
      <c r="N34">
        <v>3</v>
      </c>
      <c r="O34">
        <v>3.5</v>
      </c>
      <c r="P34">
        <v>2</v>
      </c>
      <c r="Q34">
        <v>8.5</v>
      </c>
      <c r="R34">
        <v>4.5</v>
      </c>
      <c r="S34">
        <v>14</v>
      </c>
      <c r="Y34">
        <v>16.5</v>
      </c>
    </row>
    <row r="35" spans="1:25">
      <c r="A35" s="9" t="s">
        <v>51</v>
      </c>
      <c r="B35" s="9" t="s">
        <v>84</v>
      </c>
      <c r="N35">
        <v>4.5</v>
      </c>
      <c r="O35">
        <v>7</v>
      </c>
      <c r="P35">
        <v>2</v>
      </c>
      <c r="Q35">
        <v>6</v>
      </c>
      <c r="R35">
        <v>4.5</v>
      </c>
      <c r="S35">
        <v>0</v>
      </c>
      <c r="Y35">
        <v>24</v>
      </c>
    </row>
    <row r="36" spans="1:25">
      <c r="A36" s="6">
        <v>28472</v>
      </c>
      <c r="B36" s="6"/>
      <c r="N36">
        <v>8.5</v>
      </c>
      <c r="O36">
        <v>10</v>
      </c>
      <c r="P36">
        <v>0</v>
      </c>
      <c r="Q36">
        <v>0</v>
      </c>
      <c r="R36">
        <v>0</v>
      </c>
      <c r="S36">
        <v>0</v>
      </c>
    </row>
    <row r="37" spans="1:25">
      <c r="A37" s="6">
        <v>28049</v>
      </c>
      <c r="B37" s="6"/>
      <c r="N37">
        <v>8</v>
      </c>
      <c r="O37">
        <v>7</v>
      </c>
      <c r="P37">
        <v>1</v>
      </c>
      <c r="Q37">
        <v>0</v>
      </c>
      <c r="R37">
        <v>0</v>
      </c>
      <c r="S37">
        <v>0</v>
      </c>
    </row>
    <row r="38" spans="1:25">
      <c r="A38" s="6">
        <v>28421</v>
      </c>
      <c r="B38" s="6"/>
      <c r="N38">
        <v>7</v>
      </c>
      <c r="O38">
        <v>7.5</v>
      </c>
      <c r="P38">
        <v>2</v>
      </c>
      <c r="Q38">
        <v>0</v>
      </c>
      <c r="R38">
        <v>0</v>
      </c>
      <c r="S38">
        <v>0</v>
      </c>
    </row>
    <row r="39" spans="1:25">
      <c r="A39" s="6"/>
      <c r="B39" s="6"/>
    </row>
    <row r="40" spans="1:25">
      <c r="A40" s="6"/>
      <c r="B40" s="6"/>
    </row>
    <row r="41" spans="1:25">
      <c r="A41" s="6"/>
      <c r="B41" s="6"/>
    </row>
    <row r="42" spans="1:25">
      <c r="A42" s="6"/>
      <c r="B42" s="6"/>
    </row>
    <row r="43" spans="1:25">
      <c r="A43" s="6"/>
      <c r="B43" s="6"/>
    </row>
    <row r="44" spans="1:25">
      <c r="A44" s="6"/>
      <c r="B44" s="6"/>
    </row>
    <row r="45" spans="1:25">
      <c r="A45" s="6"/>
      <c r="B45" s="6"/>
    </row>
    <row r="46" spans="1:25">
      <c r="A46" s="6"/>
      <c r="B46" s="6"/>
    </row>
    <row r="47" spans="1:25">
      <c r="A47" s="6"/>
      <c r="B47" s="6"/>
    </row>
    <row r="48" spans="1:25">
      <c r="A48" s="6"/>
      <c r="B48" s="6"/>
    </row>
    <row r="49" spans="1:2">
      <c r="A49" s="6"/>
      <c r="B49" s="6"/>
    </row>
    <row r="50" spans="1:2">
      <c r="A50" s="6"/>
      <c r="B5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>
      <selection activeCell="S36" sqref="S36"/>
    </sheetView>
  </sheetViews>
  <sheetFormatPr defaultRowHeight="15"/>
  <cols>
    <col min="1" max="1" width="12.28515625" customWidth="1"/>
    <col min="2" max="2" width="0" hidden="1" customWidth="1"/>
    <col min="7" max="7" width="10.7109375" customWidth="1"/>
    <col min="8" max="8" width="9.85546875" customWidth="1"/>
    <col min="9" max="9" width="10.85546875" customWidth="1"/>
    <col min="10" max="10" width="13.28515625" customWidth="1"/>
    <col min="11" max="11" width="11.42578125" customWidth="1"/>
    <col min="12" max="12" width="14.42578125" customWidth="1"/>
    <col min="14" max="14" width="13.140625" customWidth="1"/>
    <col min="15" max="15" width="13.5703125" customWidth="1"/>
    <col min="16" max="16" width="13.140625" customWidth="1"/>
    <col min="17" max="17" width="13.5703125" customWidth="1"/>
    <col min="18" max="18" width="13.140625" customWidth="1"/>
  </cols>
  <sheetData>
    <row r="1" spans="1:18">
      <c r="A1" s="2" t="s">
        <v>0</v>
      </c>
      <c r="B1" s="2" t="s">
        <v>15</v>
      </c>
      <c r="C1" s="2" t="s">
        <v>95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93</v>
      </c>
      <c r="K1" s="2" t="s">
        <v>92</v>
      </c>
      <c r="L1" s="2" t="s">
        <v>94</v>
      </c>
      <c r="M1" s="2" t="s">
        <v>97</v>
      </c>
      <c r="N1" s="2" t="s">
        <v>96</v>
      </c>
      <c r="O1" s="2" t="s">
        <v>17</v>
      </c>
      <c r="P1" s="2" t="s">
        <v>99</v>
      </c>
      <c r="Q1" s="2" t="s">
        <v>18</v>
      </c>
      <c r="R1" s="2" t="s">
        <v>98</v>
      </c>
    </row>
    <row r="2" spans="1:18">
      <c r="A2" s="9" t="s">
        <v>34</v>
      </c>
      <c r="B2" s="9" t="s">
        <v>67</v>
      </c>
      <c r="C2">
        <v>7</v>
      </c>
      <c r="D2">
        <v>4.5</v>
      </c>
      <c r="E2">
        <v>8</v>
      </c>
      <c r="F2">
        <v>2</v>
      </c>
      <c r="G2">
        <v>8.5</v>
      </c>
      <c r="H2">
        <v>7.5</v>
      </c>
      <c r="I2">
        <v>14</v>
      </c>
      <c r="J2">
        <v>10</v>
      </c>
      <c r="K2">
        <v>8</v>
      </c>
      <c r="L2">
        <v>9</v>
      </c>
      <c r="M2">
        <f>C2+D2+E2+F2+G2+H2+I2+J2+K2+L2</f>
        <v>78.5</v>
      </c>
      <c r="N2">
        <f>ROUND(M2/102*30, 0)</f>
        <v>23</v>
      </c>
      <c r="O2">
        <v>22</v>
      </c>
      <c r="P2">
        <f>N2+O2</f>
        <v>45</v>
      </c>
    </row>
    <row r="3" spans="1:18">
      <c r="A3" s="9" t="s">
        <v>38</v>
      </c>
      <c r="B3" s="9" t="s">
        <v>71</v>
      </c>
      <c r="C3">
        <v>7</v>
      </c>
      <c r="D3">
        <v>6.5</v>
      </c>
      <c r="E3">
        <v>8.5</v>
      </c>
      <c r="F3">
        <v>2</v>
      </c>
      <c r="G3">
        <v>8</v>
      </c>
      <c r="H3">
        <v>9</v>
      </c>
      <c r="I3">
        <v>20</v>
      </c>
      <c r="J3">
        <v>0</v>
      </c>
      <c r="K3">
        <v>5</v>
      </c>
      <c r="L3">
        <v>9</v>
      </c>
      <c r="M3">
        <f>C3+D3+E3+F3+G3+H3+I3+J3+K3+L3</f>
        <v>75</v>
      </c>
      <c r="N3">
        <f>ROUND(M3/102*30, 0)</f>
        <v>22</v>
      </c>
      <c r="O3">
        <v>23</v>
      </c>
      <c r="P3">
        <f>N3+O3</f>
        <v>45</v>
      </c>
    </row>
    <row r="4" spans="1:18">
      <c r="A4" s="9" t="s">
        <v>30</v>
      </c>
      <c r="B4" s="9" t="s">
        <v>63</v>
      </c>
      <c r="C4" s="9">
        <v>9</v>
      </c>
      <c r="D4">
        <v>5.5</v>
      </c>
      <c r="E4">
        <v>9</v>
      </c>
      <c r="F4">
        <v>2</v>
      </c>
      <c r="G4">
        <v>6.5</v>
      </c>
      <c r="H4">
        <v>9</v>
      </c>
      <c r="I4">
        <v>14</v>
      </c>
      <c r="J4">
        <v>0</v>
      </c>
      <c r="K4">
        <v>6</v>
      </c>
      <c r="L4">
        <v>9</v>
      </c>
      <c r="M4">
        <f>C4+D4+E4+F4+G4+H4+I4+J4+K4+L4</f>
        <v>70</v>
      </c>
      <c r="N4">
        <f>ROUND(M4/102*30, 0)</f>
        <v>21</v>
      </c>
      <c r="O4">
        <v>23</v>
      </c>
      <c r="P4">
        <f>N4+O4</f>
        <v>44</v>
      </c>
    </row>
    <row r="5" spans="1:18">
      <c r="A5" s="9">
        <v>28256</v>
      </c>
      <c r="B5" s="9" t="s">
        <v>70</v>
      </c>
      <c r="C5">
        <v>8.5</v>
      </c>
      <c r="D5">
        <v>8.5</v>
      </c>
      <c r="E5">
        <v>7</v>
      </c>
      <c r="F5">
        <v>2</v>
      </c>
      <c r="G5">
        <v>9</v>
      </c>
      <c r="H5">
        <v>7</v>
      </c>
      <c r="I5">
        <v>20</v>
      </c>
      <c r="J5">
        <v>4</v>
      </c>
      <c r="K5">
        <v>7</v>
      </c>
      <c r="M5">
        <f>C5+D5+E5+F5+G5+H5+I5+J5+K5+L5</f>
        <v>73</v>
      </c>
      <c r="N5">
        <f>ROUND(M5/102*30, 0)</f>
        <v>21</v>
      </c>
      <c r="O5">
        <v>21</v>
      </c>
      <c r="P5">
        <f>N5+O5</f>
        <v>42</v>
      </c>
    </row>
    <row r="6" spans="1:18">
      <c r="A6" s="9" t="s">
        <v>48</v>
      </c>
      <c r="B6" s="9" t="s">
        <v>81</v>
      </c>
      <c r="C6">
        <v>9</v>
      </c>
      <c r="D6">
        <v>9</v>
      </c>
      <c r="E6">
        <v>7.5</v>
      </c>
      <c r="F6">
        <v>2</v>
      </c>
      <c r="G6">
        <v>7.5</v>
      </c>
      <c r="H6">
        <v>7.5</v>
      </c>
      <c r="I6">
        <v>19</v>
      </c>
      <c r="J6">
        <v>5</v>
      </c>
      <c r="K6">
        <v>2</v>
      </c>
      <c r="L6">
        <v>9.5</v>
      </c>
      <c r="M6">
        <f>C6+D6+E6+F6+G6+H6+I6+J6+K6+L6</f>
        <v>78</v>
      </c>
      <c r="N6">
        <f>ROUND(M6/102*30, 0)</f>
        <v>23</v>
      </c>
      <c r="O6">
        <v>19</v>
      </c>
      <c r="P6">
        <f>N6+O6</f>
        <v>42</v>
      </c>
    </row>
    <row r="7" spans="1:18">
      <c r="A7" s="9" t="s">
        <v>25</v>
      </c>
      <c r="B7" s="9" t="s">
        <v>58</v>
      </c>
      <c r="C7" s="9">
        <v>7</v>
      </c>
      <c r="D7">
        <v>5.5</v>
      </c>
      <c r="E7">
        <v>7.5</v>
      </c>
      <c r="F7">
        <v>2</v>
      </c>
      <c r="G7">
        <v>9</v>
      </c>
      <c r="H7">
        <v>9</v>
      </c>
      <c r="I7">
        <v>7</v>
      </c>
      <c r="J7">
        <v>0</v>
      </c>
      <c r="K7">
        <v>10</v>
      </c>
      <c r="M7">
        <f>C7+D7+E7+F7+G7+H7+I7+J7+K7+L7</f>
        <v>57</v>
      </c>
      <c r="N7">
        <f>ROUND(M7/102*30, 0)</f>
        <v>17</v>
      </c>
      <c r="O7">
        <v>24.5</v>
      </c>
      <c r="P7">
        <f>N7+O7</f>
        <v>41.5</v>
      </c>
    </row>
    <row r="8" spans="1:18">
      <c r="A8" s="9" t="s">
        <v>32</v>
      </c>
      <c r="B8" s="9" t="s">
        <v>65</v>
      </c>
      <c r="C8" s="9">
        <v>7</v>
      </c>
      <c r="D8">
        <v>6</v>
      </c>
      <c r="E8">
        <v>8</v>
      </c>
      <c r="F8">
        <v>2</v>
      </c>
      <c r="G8">
        <v>6.5</v>
      </c>
      <c r="H8">
        <v>8.5</v>
      </c>
      <c r="I8">
        <v>16</v>
      </c>
      <c r="J8">
        <v>10</v>
      </c>
      <c r="K8">
        <v>9</v>
      </c>
      <c r="L8">
        <v>9.5</v>
      </c>
      <c r="M8">
        <f>C8+D8+E8+F8+G8+H8+I8+J8+K8+L8</f>
        <v>82.5</v>
      </c>
      <c r="N8">
        <f>ROUND(M8/102*30, 0)</f>
        <v>24</v>
      </c>
      <c r="O8">
        <v>17.5</v>
      </c>
      <c r="P8">
        <f>N8+O8</f>
        <v>41.5</v>
      </c>
    </row>
    <row r="9" spans="1:18">
      <c r="A9" s="9" t="s">
        <v>43</v>
      </c>
      <c r="B9" s="9" t="s">
        <v>76</v>
      </c>
      <c r="C9">
        <v>9</v>
      </c>
      <c r="D9">
        <v>9.5</v>
      </c>
      <c r="E9">
        <v>9</v>
      </c>
      <c r="F9">
        <v>2</v>
      </c>
      <c r="G9">
        <v>5.5</v>
      </c>
      <c r="H9">
        <v>7</v>
      </c>
      <c r="I9">
        <v>14</v>
      </c>
      <c r="J9">
        <v>4</v>
      </c>
      <c r="K9">
        <v>5</v>
      </c>
      <c r="M9">
        <f>C9+D9+E9+F9+G9+H9+I9+J9+K9+L9</f>
        <v>65</v>
      </c>
      <c r="N9">
        <f>ROUND(M9/102*30, 0)</f>
        <v>19</v>
      </c>
      <c r="O9">
        <v>20.5</v>
      </c>
      <c r="P9">
        <f>N9+O9</f>
        <v>39.5</v>
      </c>
    </row>
    <row r="10" spans="1:18">
      <c r="A10" s="9" t="s">
        <v>36</v>
      </c>
      <c r="B10" s="9" t="s">
        <v>69</v>
      </c>
      <c r="C10" s="10">
        <v>7</v>
      </c>
      <c r="D10">
        <v>5.5</v>
      </c>
      <c r="E10">
        <v>8</v>
      </c>
      <c r="F10">
        <v>2</v>
      </c>
      <c r="G10">
        <v>7</v>
      </c>
      <c r="H10">
        <v>7.5</v>
      </c>
      <c r="I10">
        <v>12</v>
      </c>
      <c r="J10">
        <v>4</v>
      </c>
      <c r="K10">
        <v>5</v>
      </c>
      <c r="L10">
        <v>9</v>
      </c>
      <c r="M10">
        <f>C10+D10+E10+F10+G10+H10+I10+J10+K10+L10</f>
        <v>67</v>
      </c>
      <c r="N10">
        <f>ROUND(M10/102*30, 0)</f>
        <v>20</v>
      </c>
      <c r="O10">
        <v>19</v>
      </c>
      <c r="P10">
        <f>N10+O10</f>
        <v>39</v>
      </c>
    </row>
    <row r="11" spans="1:18">
      <c r="A11" s="9" t="s">
        <v>45</v>
      </c>
      <c r="B11" s="9" t="s">
        <v>78</v>
      </c>
      <c r="C11">
        <v>8.5</v>
      </c>
      <c r="D11">
        <v>0</v>
      </c>
      <c r="E11">
        <v>0</v>
      </c>
      <c r="F11">
        <v>2</v>
      </c>
      <c r="G11">
        <v>7</v>
      </c>
      <c r="H11">
        <v>8</v>
      </c>
      <c r="I11">
        <v>18</v>
      </c>
      <c r="J11">
        <v>10</v>
      </c>
      <c r="K11">
        <v>0</v>
      </c>
      <c r="L11">
        <v>9</v>
      </c>
      <c r="M11">
        <f>C11+D11+E11+F11+G11+H11+I11+J11+K11+L11</f>
        <v>62.5</v>
      </c>
      <c r="N11">
        <f>ROUND(M11/102*30, 0)</f>
        <v>18</v>
      </c>
      <c r="O11">
        <v>21</v>
      </c>
      <c r="P11">
        <f>N11+O11</f>
        <v>39</v>
      </c>
    </row>
    <row r="12" spans="1:18">
      <c r="A12" s="9" t="s">
        <v>51</v>
      </c>
      <c r="B12" s="9" t="s">
        <v>84</v>
      </c>
      <c r="C12">
        <v>9</v>
      </c>
      <c r="D12">
        <v>4.5</v>
      </c>
      <c r="E12">
        <v>7</v>
      </c>
      <c r="F12">
        <v>2</v>
      </c>
      <c r="G12">
        <v>6</v>
      </c>
      <c r="H12">
        <v>4.5</v>
      </c>
      <c r="I12">
        <v>0</v>
      </c>
      <c r="J12">
        <v>4</v>
      </c>
      <c r="K12">
        <v>4</v>
      </c>
      <c r="L12">
        <v>9</v>
      </c>
      <c r="M12">
        <f>C12+D12+E12+F12+G12+H12+I12+J12+K12+L12</f>
        <v>50</v>
      </c>
      <c r="N12">
        <f>ROUND(M12/102*30, 0)</f>
        <v>15</v>
      </c>
      <c r="O12">
        <v>24</v>
      </c>
      <c r="P12">
        <f>N12+O12</f>
        <v>39</v>
      </c>
    </row>
    <row r="13" spans="1:18">
      <c r="A13" s="9" t="s">
        <v>29</v>
      </c>
      <c r="B13" s="9" t="s">
        <v>62</v>
      </c>
      <c r="C13" s="9"/>
      <c r="D13">
        <v>1</v>
      </c>
      <c r="E13">
        <v>8.5</v>
      </c>
      <c r="F13">
        <v>2</v>
      </c>
      <c r="G13">
        <v>7.5</v>
      </c>
      <c r="H13">
        <v>8</v>
      </c>
      <c r="I13">
        <v>10</v>
      </c>
      <c r="J13">
        <v>4</v>
      </c>
      <c r="K13">
        <v>8</v>
      </c>
      <c r="L13">
        <v>9.5</v>
      </c>
      <c r="M13">
        <f>C13+D13+E13+F13+G13+H13+I13+J13+K13+L13</f>
        <v>58.5</v>
      </c>
      <c r="N13">
        <f>ROUND(M13/102*30, 0)</f>
        <v>17</v>
      </c>
      <c r="O13">
        <v>21.5</v>
      </c>
      <c r="P13">
        <f>N13+O13</f>
        <v>38.5</v>
      </c>
    </row>
    <row r="14" spans="1:18">
      <c r="A14" s="9" t="s">
        <v>23</v>
      </c>
      <c r="B14" s="9" t="s">
        <v>56</v>
      </c>
      <c r="C14" s="9">
        <v>7</v>
      </c>
      <c r="D14">
        <v>3</v>
      </c>
      <c r="E14">
        <v>10</v>
      </c>
      <c r="F14">
        <v>0</v>
      </c>
      <c r="G14">
        <v>7.5</v>
      </c>
      <c r="H14">
        <v>8.5</v>
      </c>
      <c r="I14">
        <v>12</v>
      </c>
      <c r="J14">
        <v>5</v>
      </c>
      <c r="K14">
        <v>10</v>
      </c>
      <c r="M14">
        <f>C14+D14+E14+F14+G14+H14+I14+J14+K14+L14</f>
        <v>63</v>
      </c>
      <c r="N14">
        <f>ROUND(M14/102*30, 0)</f>
        <v>19</v>
      </c>
      <c r="O14">
        <v>18.5</v>
      </c>
      <c r="P14">
        <f>N14+O14</f>
        <v>37.5</v>
      </c>
    </row>
    <row r="15" spans="1:18">
      <c r="A15" s="9" t="s">
        <v>49</v>
      </c>
      <c r="B15" s="9" t="s">
        <v>82</v>
      </c>
      <c r="C15">
        <v>8.5</v>
      </c>
      <c r="D15">
        <v>8.5</v>
      </c>
      <c r="E15">
        <v>6.5</v>
      </c>
      <c r="F15">
        <v>2</v>
      </c>
      <c r="G15">
        <v>8</v>
      </c>
      <c r="H15">
        <v>8</v>
      </c>
      <c r="I15">
        <v>16</v>
      </c>
      <c r="J15">
        <v>0</v>
      </c>
      <c r="K15">
        <v>0</v>
      </c>
      <c r="L15">
        <v>8</v>
      </c>
      <c r="M15">
        <f>C15+D15+E15+F15+G15+H15+I15+J15+K15+L15</f>
        <v>65.5</v>
      </c>
      <c r="N15">
        <f>ROUND(M15/102*30, 0)</f>
        <v>19</v>
      </c>
      <c r="O15">
        <v>17.5</v>
      </c>
      <c r="P15">
        <f>N15+O15</f>
        <v>36.5</v>
      </c>
    </row>
    <row r="16" spans="1:18">
      <c r="A16" s="9" t="s">
        <v>46</v>
      </c>
      <c r="B16" s="9" t="s">
        <v>79</v>
      </c>
      <c r="C16">
        <v>7</v>
      </c>
      <c r="D16">
        <v>7</v>
      </c>
      <c r="E16">
        <v>8.5</v>
      </c>
      <c r="F16">
        <v>2</v>
      </c>
      <c r="G16">
        <v>6</v>
      </c>
      <c r="H16">
        <v>6</v>
      </c>
      <c r="I16">
        <v>16</v>
      </c>
      <c r="J16">
        <v>2</v>
      </c>
      <c r="K16">
        <v>4</v>
      </c>
      <c r="M16">
        <f>C16+D16+E16+F16+G16+H16+I16+J16+K16+L16</f>
        <v>58.5</v>
      </c>
      <c r="N16">
        <f>ROUND(M16/102*30, 0)</f>
        <v>17</v>
      </c>
      <c r="O16">
        <v>19</v>
      </c>
      <c r="P16">
        <f>N16+O16</f>
        <v>36</v>
      </c>
    </row>
    <row r="17" spans="1:16">
      <c r="A17" s="9" t="s">
        <v>35</v>
      </c>
      <c r="B17" s="9" t="s">
        <v>68</v>
      </c>
      <c r="C17" s="10">
        <v>7</v>
      </c>
      <c r="D17">
        <v>4.5</v>
      </c>
      <c r="E17">
        <v>6</v>
      </c>
      <c r="F17">
        <v>0</v>
      </c>
      <c r="G17">
        <v>6</v>
      </c>
      <c r="H17">
        <v>6.5</v>
      </c>
      <c r="I17">
        <v>8</v>
      </c>
      <c r="J17">
        <v>0</v>
      </c>
      <c r="K17">
        <v>2</v>
      </c>
      <c r="M17">
        <f>C17+D17+E17+F17+G17+H17+I17+J17+K17+L17</f>
        <v>40</v>
      </c>
      <c r="N17">
        <f>ROUND(M17/102*30, 0)</f>
        <v>12</v>
      </c>
      <c r="O17">
        <v>22</v>
      </c>
      <c r="P17">
        <f>N17+O17</f>
        <v>34</v>
      </c>
    </row>
    <row r="18" spans="1:16">
      <c r="A18" s="9" t="s">
        <v>41</v>
      </c>
      <c r="B18" s="9" t="s">
        <v>74</v>
      </c>
      <c r="C18">
        <v>7</v>
      </c>
      <c r="D18">
        <v>0</v>
      </c>
      <c r="E18">
        <v>5.5</v>
      </c>
      <c r="F18">
        <v>0</v>
      </c>
      <c r="G18">
        <v>6.5</v>
      </c>
      <c r="H18">
        <v>8</v>
      </c>
      <c r="I18">
        <v>14</v>
      </c>
      <c r="J18">
        <v>5</v>
      </c>
      <c r="K18">
        <v>2</v>
      </c>
      <c r="M18">
        <f>C18+D18+E18+F18+G18+H18+I18+J18+K18+L18</f>
        <v>48</v>
      </c>
      <c r="N18">
        <f>ROUND(M18/102*30, 0)</f>
        <v>14</v>
      </c>
      <c r="O18">
        <v>20</v>
      </c>
      <c r="P18">
        <f>N18+O18</f>
        <v>34</v>
      </c>
    </row>
    <row r="19" spans="1:16">
      <c r="A19" s="9" t="s">
        <v>26</v>
      </c>
      <c r="B19" s="9" t="s">
        <v>59</v>
      </c>
      <c r="C19" s="9">
        <v>9</v>
      </c>
      <c r="D19">
        <v>0</v>
      </c>
      <c r="E19">
        <v>7</v>
      </c>
      <c r="F19">
        <v>0</v>
      </c>
      <c r="G19">
        <v>0</v>
      </c>
      <c r="H19">
        <v>0</v>
      </c>
      <c r="I19">
        <v>0</v>
      </c>
      <c r="J19">
        <v>9</v>
      </c>
      <c r="K19">
        <v>5</v>
      </c>
      <c r="L19">
        <v>8</v>
      </c>
      <c r="M19">
        <f>C19+D19+E19+F19+G19+H19+I19+J19+K19+L19</f>
        <v>38</v>
      </c>
      <c r="N19">
        <f>ROUND(M19/102*30, 0)</f>
        <v>11</v>
      </c>
      <c r="O19">
        <v>22.5</v>
      </c>
      <c r="P19">
        <f>N19+O19</f>
        <v>33.5</v>
      </c>
    </row>
    <row r="20" spans="1:16">
      <c r="A20" s="9" t="s">
        <v>44</v>
      </c>
      <c r="B20" s="9" t="s">
        <v>77</v>
      </c>
      <c r="C20">
        <v>8.5</v>
      </c>
      <c r="F20">
        <v>2</v>
      </c>
      <c r="I20">
        <v>15</v>
      </c>
      <c r="J20">
        <v>8</v>
      </c>
      <c r="K20">
        <v>2</v>
      </c>
      <c r="L20">
        <v>9.5</v>
      </c>
      <c r="M20">
        <f>C20+D20+E20+F20+G20+H20+I20+J20+K20+L20</f>
        <v>45</v>
      </c>
      <c r="N20">
        <f>ROUND(M20/102*30, 0)</f>
        <v>13</v>
      </c>
      <c r="O20">
        <v>20.5</v>
      </c>
      <c r="P20">
        <f>N20+O20</f>
        <v>33.5</v>
      </c>
    </row>
    <row r="21" spans="1:16">
      <c r="A21" s="9" t="s">
        <v>50</v>
      </c>
      <c r="B21" s="9" t="s">
        <v>83</v>
      </c>
      <c r="C21">
        <v>8.5</v>
      </c>
      <c r="D21">
        <v>3</v>
      </c>
      <c r="E21">
        <v>3.5</v>
      </c>
      <c r="F21">
        <v>2</v>
      </c>
      <c r="G21">
        <v>8.5</v>
      </c>
      <c r="H21">
        <v>4.5</v>
      </c>
      <c r="I21">
        <v>14</v>
      </c>
      <c r="J21">
        <v>2</v>
      </c>
      <c r="K21">
        <v>2</v>
      </c>
      <c r="L21">
        <v>9</v>
      </c>
      <c r="M21">
        <f>C21+D21+E21+F21+G21+H21+I21+J21+K21+L21</f>
        <v>57</v>
      </c>
      <c r="N21">
        <f>ROUND(M21/102*30, 0)</f>
        <v>17</v>
      </c>
      <c r="O21">
        <v>16.5</v>
      </c>
      <c r="P21">
        <f>N21+O21</f>
        <v>33.5</v>
      </c>
    </row>
    <row r="22" spans="1:16">
      <c r="A22" s="9" t="s">
        <v>33</v>
      </c>
      <c r="B22" s="9" t="s">
        <v>66</v>
      </c>
      <c r="C22">
        <v>7.5</v>
      </c>
      <c r="D22">
        <v>6.5</v>
      </c>
      <c r="E22">
        <v>8.5</v>
      </c>
      <c r="F22">
        <v>2</v>
      </c>
      <c r="G22">
        <v>7</v>
      </c>
      <c r="H22">
        <v>8.5</v>
      </c>
      <c r="I22">
        <v>11</v>
      </c>
      <c r="J22">
        <v>0</v>
      </c>
      <c r="K22">
        <v>4</v>
      </c>
      <c r="M22">
        <f>C22+D22+E22+F22+G22+H22+I22+J22+K22+L22</f>
        <v>55</v>
      </c>
      <c r="N22">
        <f>ROUND(M22/102*30, 0)</f>
        <v>16</v>
      </c>
      <c r="O22">
        <v>15.5</v>
      </c>
      <c r="P22">
        <f>N22+O22</f>
        <v>31.5</v>
      </c>
    </row>
    <row r="23" spans="1:16">
      <c r="A23" s="9" t="s">
        <v>47</v>
      </c>
      <c r="B23" s="9" t="s">
        <v>80</v>
      </c>
      <c r="C23">
        <v>7</v>
      </c>
      <c r="D23">
        <v>6</v>
      </c>
      <c r="E23">
        <v>4</v>
      </c>
      <c r="F23">
        <v>0</v>
      </c>
      <c r="G23">
        <v>7.5</v>
      </c>
      <c r="H23">
        <v>7</v>
      </c>
      <c r="J23">
        <v>7</v>
      </c>
      <c r="K23">
        <v>3</v>
      </c>
      <c r="L23">
        <v>9</v>
      </c>
      <c r="M23">
        <f>C23+D23+E23+F23+G23+H23+I23+J23+K23+L23</f>
        <v>50.5</v>
      </c>
      <c r="N23">
        <f>ROUND(M23/102*30, 0)</f>
        <v>15</v>
      </c>
      <c r="O23">
        <v>15.5</v>
      </c>
      <c r="P23">
        <f>N23+O23</f>
        <v>30.5</v>
      </c>
    </row>
    <row r="24" spans="1:16">
      <c r="A24" s="9" t="s">
        <v>40</v>
      </c>
      <c r="B24" s="9" t="s">
        <v>73</v>
      </c>
      <c r="C24">
        <v>7</v>
      </c>
      <c r="D24">
        <v>10</v>
      </c>
      <c r="E24">
        <v>7</v>
      </c>
      <c r="F24">
        <v>2</v>
      </c>
      <c r="G24">
        <v>8.5</v>
      </c>
      <c r="H24">
        <v>4.5</v>
      </c>
      <c r="I24">
        <v>11</v>
      </c>
      <c r="J24">
        <v>2</v>
      </c>
      <c r="K24">
        <v>0</v>
      </c>
      <c r="L24">
        <v>9</v>
      </c>
      <c r="M24">
        <f>C24+D24+E24+F24+G24+H24+I24+J24+K24+L24</f>
        <v>61</v>
      </c>
      <c r="N24">
        <f>ROUND(M24/102*30, 0)</f>
        <v>18</v>
      </c>
      <c r="O24">
        <v>12</v>
      </c>
      <c r="P24">
        <f>N24+O24</f>
        <v>30</v>
      </c>
    </row>
    <row r="25" spans="1:16">
      <c r="A25" s="9" t="s">
        <v>19</v>
      </c>
      <c r="B25" s="9" t="s">
        <v>52</v>
      </c>
      <c r="C25" s="9">
        <v>9</v>
      </c>
      <c r="D25">
        <v>0</v>
      </c>
      <c r="E25">
        <v>4.5</v>
      </c>
      <c r="F25">
        <v>2</v>
      </c>
      <c r="G25">
        <v>4</v>
      </c>
      <c r="H25">
        <v>7.5</v>
      </c>
      <c r="I25">
        <v>0</v>
      </c>
      <c r="M25">
        <f>C25+D25+E25+F25+G25+H25+I25+J25+K25+L25</f>
        <v>27</v>
      </c>
      <c r="N25">
        <f>ROUND(M25/102*30, 0)</f>
        <v>8</v>
      </c>
      <c r="O25">
        <v>8.5</v>
      </c>
      <c r="P25" s="12">
        <f>N25+O25</f>
        <v>16.5</v>
      </c>
    </row>
    <row r="26" spans="1:16">
      <c r="A26" s="9" t="s">
        <v>31</v>
      </c>
      <c r="B26" s="9" t="s">
        <v>64</v>
      </c>
      <c r="C26" s="9"/>
      <c r="D26">
        <v>0</v>
      </c>
      <c r="E26">
        <v>5.5</v>
      </c>
      <c r="F26">
        <v>0</v>
      </c>
      <c r="G26">
        <v>0</v>
      </c>
      <c r="H26">
        <v>0</v>
      </c>
      <c r="I26">
        <v>0</v>
      </c>
      <c r="M26">
        <f>C26+D26+E26+F26+G26+H26+I26+J26+K26+L26</f>
        <v>5.5</v>
      </c>
      <c r="N26">
        <f>ROUND(M26/102*30, 0)</f>
        <v>2</v>
      </c>
      <c r="O26">
        <v>4.5</v>
      </c>
      <c r="P26" s="12">
        <f>N26+O26</f>
        <v>6.5</v>
      </c>
    </row>
  </sheetData>
  <sortState ref="A2:R26">
    <sortCondition descending="1" ref="P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Kayitare</dc:creator>
  <cp:lastModifiedBy>Elie Kayitare</cp:lastModifiedBy>
  <dcterms:created xsi:type="dcterms:W3CDTF">2025-09-26T15:17:20Z</dcterms:created>
  <dcterms:modified xsi:type="dcterms:W3CDTF">2025-11-30T15:10:53Z</dcterms:modified>
</cp:coreProperties>
</file>